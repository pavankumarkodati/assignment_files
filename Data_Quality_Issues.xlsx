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van\Downloads\Assigment\files\"/>
    </mc:Choice>
  </mc:AlternateContent>
  <xr:revisionPtr revIDLastSave="0" documentId="13_ncr:1_{02CDE6A7-268F-46A4-B776-059ED3DF178E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Data Quality Issues" sheetId="1" r:id="rId1"/>
    <sheet name="Summary by Severity" sheetId="2" r:id="rId2"/>
  </sheets>
  <definedNames>
    <definedName name="_xlnm._FilterDatabase" localSheetId="0" hidden="1">'Data Quality Issues'!$A$2:$H$15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6" i="2"/>
  <c r="B5" i="2"/>
  <c r="B4" i="2"/>
  <c r="B7" i="2" s="1"/>
</calcChain>
</file>

<file path=xl/sharedStrings.xml><?xml version="1.0" encoding="utf-8"?>
<sst xmlns="http://schemas.openxmlformats.org/spreadsheetml/2006/main" count="116" uniqueCount="89">
  <si>
    <t>Data Quality Issues — problem, fix (with SQL), and handling — AWS S3 → Snowflake ETL</t>
  </si>
  <si>
    <t>#</t>
  </si>
  <si>
    <t>File</t>
  </si>
  <si>
    <t>Issue</t>
  </si>
  <si>
    <t>Why it's a problem (detailed)</t>
  </si>
  <si>
    <t>How to fix (detailed + SQL)</t>
  </si>
  <si>
    <t>Evidence</t>
  </si>
  <si>
    <t>Severity</t>
  </si>
  <si>
    <t>How it's handled</t>
  </si>
  <si>
    <t>customer.csv</t>
  </si>
  <si>
    <t>cust_id not unique - 4 customers but 12 rows (3x each), with the active flag changing across rows</t>
  </si>
  <si>
    <t>Breaks one-row-per-customer and cascades. (1) JOIN FAN-OUT triples every metric (42492's 3,432.69 -&gt; ~10,298), silently. (2) CURRENT STATE UNDEFINED: active flip-flops (21456=y,n,y). (3) Breaks metric (d) active/inactive CLV. (4) created_at misused as a key. (5) Ambiguous history-vs-duplicate, so escalate not silently resolve.</t>
  </si>
  <si>
    <t>FIX: collapse to one CURRENT row per customer (SCD-1, latest wins) with a documented tie-break; keep SCD-2 (effective_from/to, is_current) as an option if history is real. SQL:
ROW_NUMBER() OVER (PARTITION BY cust_id ORDER BY created_at DESC) rn ... WHERE rn=1
GUARD: COUNT(*)-COUNT(DISTINCT cust_id)=0</t>
  </si>
  <si>
    <t>counts {32483:3, 21456:3, 42491:3, 42492:3}</t>
  </si>
  <si>
    <t>High</t>
  </si>
  <si>
    <t>Dedupe to current record (SCD-1); add uniqueness assertion</t>
  </si>
  <si>
    <t>created_at is 2025 while orders are 2018-2020 - customers "created" after they ordered</t>
  </si>
  <si>
    <t>Logically impossible. Any tenure/cohort/new-vs-returning analysis on created_at is wrong; can't anchor an SCD effective date; signals a mislabeled source field, eroding trust in the feed.</t>
  </si>
  <si>
    <t>FIX: don't trust created_at; derive tenure from the fact and quarantine the bad value. SQL:
first_order_date = MIN(order_ts) per cust_id;
flag (created_at &gt; CURRENT_DATE OR &gt; first_order_date) -&gt; _DQ_QUARANTINE
Resolution is upstream: get a real immutable creation timestamp.</t>
  </si>
  <si>
    <t>customer dates 2025 vs order dates 2018-2020</t>
  </si>
  <si>
    <t>Use first_order_date proxy; quarantine; flag to source</t>
  </si>
  <si>
    <t>zip stored as integer -&gt; leading-zero loss risk</t>
  </si>
  <si>
    <t>ZIPs are identifiers; 0-leading codes (02115, 07001) become 2115/7001. Breaks geo joins, postal validation, region rollups; numeric type invites meaningless aggregation; loss is irreversible on CSV re-export.</t>
  </si>
  <si>
    <t>FIX: cast to zero-padded 5-char STRING at Silver. SQL:
LPAD(TO_VARCHAR(TRY_TO_NUMBER(zip)),5,'0')
GUARD: COUNT(*) WHERE LENGTH(zip)&lt;&gt;5 = 0</t>
  </si>
  <si>
    <t>10000, 20000 stored as numbers</t>
  </si>
  <si>
    <t>Medium</t>
  </si>
  <si>
    <t>Cast to STRING; keep postal codes as text everywhere</t>
  </si>
  <si>
    <t>orders.csv</t>
  </si>
  <si>
    <t>Exact duplicate order lines</t>
  </si>
  <si>
    <t>A-005/prod2/qty1 appears 3x -&gt; 2 spurious, inflating revenue/qty/order counts. TRAP: deduping on order_id alone destroys real multi-line order A-009 (prods 7,11,4). Source lacks idempotency, so dups recur.</t>
  </si>
  <si>
    <t>FIX: dedupe on the FULL natural key, not order_id. SQL:
ROW_NUMBER() OVER (PARTITION BY order_id,cust_id,order_ts,prod_id,quantity,status) ... WHERE rn=1
GUARDS: 0 full-key dups; A-009 still = 3 lines. Add idempotent loads.</t>
  </si>
  <si>
    <t>A-005 x3; A-009 multi-line is NOT a dup</t>
  </si>
  <si>
    <t>Dedupe on full natural key (keeps multi-line orders)</t>
  </si>
  <si>
    <t>Orphan orders - empty cust_id (broken FK to customer)</t>
  </si>
  <si>
    <t>A-21/A-22 have no customer. Inner joins drop them (understated totals); outer joins pollute with NULL dims; their revenue is unattributable; a source capture bug.</t>
  </si>
  <si>
    <t>FIX: blank-&gt;NULL + is_orphan_customer flag; exclude from customer metrics; quarantine for source fix. SQL:
NULLIF(TRIM(cust_id),'') ; is_orphan_customer = (cust_id IS NULL)
GUARD: 0 orphans in the revenue set.</t>
  </si>
  <si>
    <t>A-21, A-22 empty cust_id</t>
  </si>
  <si>
    <t>NULL + flag; exclude from customer metrics; quarantine</t>
  </si>
  <si>
    <t>Fractional quantity for discrete goods</t>
  </si>
  <si>
    <t>qty 0.1 is impossible for discrete items; a data-entry/parse error. Produces a wrong tiny revenue, pollutes SUM(qty) and averages, and signals quantity isn't validated at source.</t>
  </si>
  <si>
    <t>FIX: flag and exclude (don't silently delete). SQL:
is_faulty_qty = (quantity&lt;=0 OR quantity&lt;&gt;FLOOR(quantity))
metrics filter NOT is_faulty_qty
GUARD: 0 fractional/non-positive qty in clean set.</t>
  </si>
  <si>
    <t>A-013 qty 0.1</t>
  </si>
  <si>
    <t>is_faulty_qty flag; exclude from metrics; add source rule</t>
  </si>
  <si>
    <t>Quantity outlier</t>
  </si>
  <si>
    <t>qty 20 = 2.5x next-highest; could be real bulk or fat-finger. Material: prod 14 dominates west revenue via this line. Can't auto-classify, so dropping or trusting blindly both risk wrong headlines.</t>
  </si>
  <si>
    <t>FIX: statistical flag, RETAIN row, route to review (human confirms with source). SQL:
z=(quantity-AVG)/STDDEV over non-faulty; WHERE ABS(z)&gt;2 -&gt; _DQ_REVIEW table
Row stays in fact; not excluded automatically.</t>
  </si>
  <si>
    <t>A-018 qty 20 vs next-highest 8</t>
  </si>
  <si>
    <t>Flag &amp; retain; review report; confirm before excluding</t>
  </si>
  <si>
    <t>Status mixes non-revenue states</t>
  </si>
  <si>
    <t>created (not yet paid) and cancelled (reversed) aren't realized revenue. Counting them overstates revenue/orders; without a shared rule, analysts include different statuses and disagree on revenue.</t>
  </si>
  <si>
    <t>FIX: define the revenue rule ONCE and reference it everywhere (incl. semantic layer). SQL:
is_revenue_status = status IN ('paid','shipped')
GUARD: 0 revenue rows with status outside paid/shipped.</t>
  </si>
  <si>
    <t>statuses: shipped, paid, created, cancelled</t>
  </si>
  <si>
    <t>Centralize is_revenue_status; all metrics reference it</t>
  </si>
  <si>
    <t>Inconsistent order_id format</t>
  </si>
  <si>
    <t>A-001 vs A-21/A-22. String sort misorders (A-1,A-10,A-2...); suffix parsing/padding mishandles odd ones; canonical-shape assumptions in joins/dup-checks can miss. A recurring join/order bug at scale.</t>
  </si>
  <si>
    <t>FIX: add a canonical zero-padded id; keep original for traceability. SQL:
order_id_canonical = 'A-'||LPAD(SPLIT_PART(order_id,'-',2),3,'0')
Verified A-21-&gt;A-021, A-22-&gt;A-022. GUARD: all match ^A-[0-9]{3}$.</t>
  </si>
  <si>
    <t>A-001 vs A-21 / A-22</t>
  </si>
  <si>
    <t>Low</t>
  </si>
  <si>
    <t>Normalize to canonical zero-padded form if used for sort/parse</t>
  </si>
  <si>
    <t>product.csv + currency_conversion.json</t>
  </si>
  <si>
    <t>Currency value mismatch - 'Yen' (product) vs 'YEN' (FX)</t>
  </si>
  <si>
    <t>Case/spelling mismatch + 'Yen' isn't ISO-4217. The product-&gt;FX join misses every Yen row, so all high-value Yen products (7-14) get NULL conversion and drop from revenue - a huge silent understatement. Non-standard codes also block external FX integration.</t>
  </si>
  <si>
    <t>FIX: map BOTH sides to ISO-4217 before joining. SQL:
CASE UPPER(currency) WHEN 'YEN' THEN 'JPY' WHEN 'POUND' THEN 'GBP' ELSE UPPER(currency) END
GUARD: 0 revenue lines with NULL fx rate (join hit-rate 100%).</t>
  </si>
  <si>
    <t>product 'Yen' vs FX 'YEN'/'USD'/'POUND'</t>
  </si>
  <si>
    <t>ISO-4217 map both sides; assert 100% join hit-rate</t>
  </si>
  <si>
    <t>prod_cat_tree.csv</t>
  </si>
  <si>
    <t>Dangling parent 'salt' - crisp/chip point to a node that has no row</t>
  </si>
  <si>
    <t>crisp(4)/chip(5) reference parent 'salt' but no child='salt' row exists, so a recursive walk never reaches a root: the salt branch is dropped and 'all categories' totals silently exclude it. Tree FK integrity isn't enforced.</t>
  </si>
  <si>
    <t>FIX: inject a synthetic 'salt' root, then roll up with a RECURSIVE CTE (any depth). SQL:
edges UNION ALL SELECT 999,'salt','all';
WITH RECURSIVE walk(...) resolve top_category.
Verified: chocolate/candy-&gt;Sweet, crisp/chip-&gt;salt. GUARDS: every cat has a root; no parent missing.</t>
  </si>
  <si>
    <t>parent 'salt' referenced but undefined</t>
  </si>
  <si>
    <t>Synthetic 'salt' root + recursive rollup; assert parents exist</t>
  </si>
  <si>
    <t>currency_conversion.json</t>
  </si>
  <si>
    <t>Duplicate, conflicting FX rates for 2020-01-28 - fans out the fact join</t>
  </si>
  <si>
    <t>Two rows per currency that day with DIFFERENT rates (JPY 0.14534 vs 0.146794). (1) Join fan-out duplicates every order on that date (turned 1 A-019 line into 2). (2) Even after dedup, which rate is correct is undefined -&gt; non-deterministic revenue. Invisible on inspection; caught only by a row-count assertion.</t>
  </si>
  <si>
    <t>FIX: dedupe to one rate per (date,currency) with a documented rule, and ENFORCE uniqueness. SQL:
ROW_NUMBER() OVER (PARTITION BY date,currency ORDER BY conversion DESC) ... WHERE rn=1
GUARD: 0 duplicate (fx_date,cur_iso). Source must correct the feed.</t>
  </si>
  <si>
    <t>2 differing rates each for USD/JPY/GBP on 2020-01-28</t>
  </si>
  <si>
    <t>Dedupe one rate per (date,ccy); enforce uniqueness; flag source</t>
  </si>
  <si>
    <t>product.csv / currency_conversion.json</t>
  </si>
  <si>
    <t>Synthetic prod_name gibberish; POUND/GBP in FX never used by any product</t>
  </si>
  <si>
    <t>(1) prod_name (aaaa/asdfdf) is placeholder/test data - no real labels to group/search/report by (a prod blocker). (2) FX carries GBP rates no product uses - harmless dead reference, but the FX feed and catalog aren't aligned. Neither corrupts current metrics.</t>
  </si>
  <si>
    <t>FIX: none required for this dataset. SQL:
record as rows in _DQ_NOTES (placeholder names; unused GBP coverage).
Align FX currency coverage to the catalog over time; replace names in production.</t>
  </si>
  <si>
    <t>names like aaaa/asdfdf; GBP rates present but unused</t>
  </si>
  <si>
    <t>No fix needed; note as test data; align FX coverage to catalog</t>
  </si>
  <si>
    <t>Summary</t>
  </si>
  <si>
    <t>Count</t>
  </si>
  <si>
    <t>Total</t>
  </si>
  <si>
    <t>Issues by file (an issue spanning two files is counted in each)</t>
  </si>
  <si>
    <t>product.csv</t>
  </si>
  <si>
    <t>Full runnable SQL: sql/05_data_quality_fixes.sql  •  Rationale: REMEDIATION_GUIDE.md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</si>
</sst>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Consolas"/>
      <family val="3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i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3EA"/>
        <bgColor rgb="FFF2F2F2"/>
      </patternFill>
    </fill>
    <fill>
      <patternFill patternType="solid">
        <fgColor rgb="FFF4CCCC"/>
        <bgColor rgb="FFFCE4D6"/>
      </patternFill>
    </fill>
    <fill>
      <patternFill patternType="solid">
        <fgColor rgb="FFF2F2F2"/>
        <bgColor rgb="FFEAF3E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EAF3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2" borderId="0" xfId="0" applyFont="1" applyFill="1" applyBorder="1"/>
    <xf numFmtId="0" fontId="2" fillId="2" borderId="0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0" borderId="1" xfId="0" applyFont="1" applyBorder="1"/>
    <xf numFmtId="0" fontId="1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A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"/>
  <sheetViews>
    <sheetView showGridLines="0" tabSelected="1" zoomScaleNormal="100" workbookViewId="0">
      <pane ySplit="2" topLeftCell="A14" activePane="bottomLeft" state="frozen"/>
      <selection pane="bottomLeft" activeCell="D14" sqref="D14"/>
    </sheetView>
  </sheetViews>
  <sheetFormatPr defaultColWidth="8.6640625" defaultRowHeight="14.25" x14ac:dyDescent="0.45"/>
  <cols>
    <col min="1" max="1" width="4" customWidth="1"/>
    <col min="2" max="2" width="22" customWidth="1"/>
    <col min="3" max="3" width="30" customWidth="1"/>
    <col min="4" max="5" width="74" customWidth="1"/>
    <col min="6" max="6" width="22" customWidth="1"/>
    <col min="7" max="7" width="10" customWidth="1"/>
    <col min="8" max="8" width="34" customWidth="1"/>
  </cols>
  <sheetData>
    <row r="1" spans="1:8" ht="27.75" customHeight="1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ht="30" customHeight="1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94.5" customHeight="1" x14ac:dyDescent="0.45">
      <c r="A3" s="4">
        <v>1</v>
      </c>
      <c r="B3" s="4" t="s">
        <v>9</v>
      </c>
      <c r="C3" s="5" t="s">
        <v>10</v>
      </c>
      <c r="D3" s="5" t="s">
        <v>11</v>
      </c>
      <c r="E3" s="6" t="s">
        <v>12</v>
      </c>
      <c r="F3" s="5" t="s">
        <v>13</v>
      </c>
      <c r="G3" s="7" t="s">
        <v>14</v>
      </c>
      <c r="H3" s="5" t="s">
        <v>15</v>
      </c>
    </row>
    <row r="4" spans="1:8" ht="94.5" customHeight="1" x14ac:dyDescent="0.45">
      <c r="A4" s="8">
        <v>2</v>
      </c>
      <c r="B4" s="8" t="s">
        <v>9</v>
      </c>
      <c r="C4" s="9" t="s">
        <v>16</v>
      </c>
      <c r="D4" s="9" t="s">
        <v>17</v>
      </c>
      <c r="E4" s="6" t="s">
        <v>18</v>
      </c>
      <c r="F4" s="9" t="s">
        <v>19</v>
      </c>
      <c r="G4" s="7" t="s">
        <v>14</v>
      </c>
      <c r="H4" s="9" t="s">
        <v>20</v>
      </c>
    </row>
    <row r="5" spans="1:8" ht="94.5" hidden="1" customHeight="1" x14ac:dyDescent="0.45">
      <c r="A5" s="4">
        <v>3</v>
      </c>
      <c r="B5" s="4" t="s">
        <v>9</v>
      </c>
      <c r="C5" s="5" t="s">
        <v>21</v>
      </c>
      <c r="D5" s="5" t="s">
        <v>22</v>
      </c>
      <c r="E5" s="6" t="s">
        <v>23</v>
      </c>
      <c r="F5" s="5" t="s">
        <v>24</v>
      </c>
      <c r="G5" s="10" t="s">
        <v>25</v>
      </c>
      <c r="H5" s="5" t="s">
        <v>26</v>
      </c>
    </row>
    <row r="6" spans="1:8" ht="94.5" customHeight="1" x14ac:dyDescent="0.45">
      <c r="A6" s="8">
        <v>4</v>
      </c>
      <c r="B6" s="8" t="s">
        <v>27</v>
      </c>
      <c r="C6" s="9" t="s">
        <v>28</v>
      </c>
      <c r="D6" s="20" t="s">
        <v>29</v>
      </c>
      <c r="E6" s="6" t="s">
        <v>30</v>
      </c>
      <c r="F6" s="9" t="s">
        <v>31</v>
      </c>
      <c r="G6" s="7" t="s">
        <v>14</v>
      </c>
      <c r="H6" s="9" t="s">
        <v>32</v>
      </c>
    </row>
    <row r="7" spans="1:8" ht="94.5" customHeight="1" x14ac:dyDescent="0.45">
      <c r="A7" s="4">
        <v>5</v>
      </c>
      <c r="B7" s="4" t="s">
        <v>27</v>
      </c>
      <c r="C7" s="5" t="s">
        <v>33</v>
      </c>
      <c r="D7" s="5" t="s">
        <v>34</v>
      </c>
      <c r="E7" s="6" t="s">
        <v>35</v>
      </c>
      <c r="F7" s="5" t="s">
        <v>36</v>
      </c>
      <c r="G7" s="7" t="s">
        <v>14</v>
      </c>
      <c r="H7" s="5" t="s">
        <v>37</v>
      </c>
    </row>
    <row r="8" spans="1:8" ht="94.5" customHeight="1" x14ac:dyDescent="0.45">
      <c r="A8" s="8">
        <v>6</v>
      </c>
      <c r="B8" s="8" t="s">
        <v>27</v>
      </c>
      <c r="C8" s="9" t="s">
        <v>38</v>
      </c>
      <c r="D8" s="9" t="s">
        <v>39</v>
      </c>
      <c r="E8" s="6" t="s">
        <v>40</v>
      </c>
      <c r="F8" s="9" t="s">
        <v>41</v>
      </c>
      <c r="G8" s="7" t="s">
        <v>14</v>
      </c>
      <c r="H8" s="9" t="s">
        <v>42</v>
      </c>
    </row>
    <row r="9" spans="1:8" ht="94.5" hidden="1" customHeight="1" x14ac:dyDescent="0.45">
      <c r="A9" s="4">
        <v>7</v>
      </c>
      <c r="B9" s="4" t="s">
        <v>27</v>
      </c>
      <c r="C9" s="5" t="s">
        <v>43</v>
      </c>
      <c r="D9" s="5" t="s">
        <v>44</v>
      </c>
      <c r="E9" s="6" t="s">
        <v>45</v>
      </c>
      <c r="F9" s="5" t="s">
        <v>46</v>
      </c>
      <c r="G9" s="10" t="s">
        <v>25</v>
      </c>
      <c r="H9" s="5" t="s">
        <v>47</v>
      </c>
    </row>
    <row r="10" spans="1:8" ht="94.5" hidden="1" customHeight="1" x14ac:dyDescent="0.45">
      <c r="A10" s="8">
        <v>8</v>
      </c>
      <c r="B10" s="8" t="s">
        <v>27</v>
      </c>
      <c r="C10" s="9" t="s">
        <v>48</v>
      </c>
      <c r="D10" s="9" t="s">
        <v>49</v>
      </c>
      <c r="E10" s="6" t="s">
        <v>50</v>
      </c>
      <c r="F10" s="9" t="s">
        <v>51</v>
      </c>
      <c r="G10" s="10" t="s">
        <v>25</v>
      </c>
      <c r="H10" s="9" t="s">
        <v>52</v>
      </c>
    </row>
    <row r="11" spans="1:8" ht="94.5" hidden="1" customHeight="1" x14ac:dyDescent="0.45">
      <c r="A11" s="4">
        <v>9</v>
      </c>
      <c r="B11" s="4" t="s">
        <v>27</v>
      </c>
      <c r="C11" s="5" t="s">
        <v>53</v>
      </c>
      <c r="D11" s="5" t="s">
        <v>54</v>
      </c>
      <c r="E11" s="6" t="s">
        <v>55</v>
      </c>
      <c r="F11" s="5" t="s">
        <v>56</v>
      </c>
      <c r="G11" s="11" t="s">
        <v>57</v>
      </c>
      <c r="H11" s="5" t="s">
        <v>58</v>
      </c>
    </row>
    <row r="12" spans="1:8" ht="94.5" customHeight="1" x14ac:dyDescent="0.45">
      <c r="A12" s="8">
        <v>10</v>
      </c>
      <c r="B12" s="8" t="s">
        <v>59</v>
      </c>
      <c r="C12" s="20" t="s">
        <v>60</v>
      </c>
      <c r="D12" s="9" t="s">
        <v>61</v>
      </c>
      <c r="E12" s="6" t="s">
        <v>62</v>
      </c>
      <c r="F12" s="9" t="s">
        <v>63</v>
      </c>
      <c r="G12" s="7" t="s">
        <v>14</v>
      </c>
      <c r="H12" s="9" t="s">
        <v>64</v>
      </c>
    </row>
    <row r="13" spans="1:8" ht="94.5" customHeight="1" x14ac:dyDescent="0.45">
      <c r="A13" s="4">
        <v>11</v>
      </c>
      <c r="B13" s="4" t="s">
        <v>65</v>
      </c>
      <c r="C13" s="5" t="s">
        <v>66</v>
      </c>
      <c r="D13" s="21" t="s">
        <v>67</v>
      </c>
      <c r="E13" s="6" t="s">
        <v>68</v>
      </c>
      <c r="F13" s="5" t="s">
        <v>69</v>
      </c>
      <c r="G13" s="7" t="s">
        <v>14</v>
      </c>
      <c r="H13" s="5" t="s">
        <v>70</v>
      </c>
    </row>
    <row r="14" spans="1:8" ht="94.5" customHeight="1" x14ac:dyDescent="0.45">
      <c r="A14" s="8">
        <v>12</v>
      </c>
      <c r="B14" s="8" t="s">
        <v>71</v>
      </c>
      <c r="C14" s="20" t="s">
        <v>72</v>
      </c>
      <c r="D14" s="20" t="s">
        <v>73</v>
      </c>
      <c r="E14" s="6" t="s">
        <v>74</v>
      </c>
      <c r="F14" s="9" t="s">
        <v>75</v>
      </c>
      <c r="G14" s="7" t="s">
        <v>14</v>
      </c>
      <c r="H14" s="9" t="s">
        <v>76</v>
      </c>
    </row>
    <row r="15" spans="1:8" ht="94.5" hidden="1" customHeight="1" x14ac:dyDescent="0.45">
      <c r="A15" s="4">
        <v>13</v>
      </c>
      <c r="B15" s="4" t="s">
        <v>77</v>
      </c>
      <c r="C15" s="5" t="s">
        <v>78</v>
      </c>
      <c r="D15" s="5" t="s">
        <v>79</v>
      </c>
      <c r="E15" s="6" t="s">
        <v>80</v>
      </c>
      <c r="F15" s="5" t="s">
        <v>81</v>
      </c>
      <c r="G15" s="11" t="s">
        <v>57</v>
      </c>
      <c r="H15" s="5" t="s">
        <v>82</v>
      </c>
    </row>
  </sheetData>
  <autoFilter ref="A2:H15" xr:uid="{00000000-0009-0000-0000-000000000000}">
    <filterColumn colId="6">
      <filters>
        <filter val="High"/>
      </filters>
    </filterColumn>
  </autoFilter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showGridLines="0" zoomScaleNormal="100" workbookViewId="0">
      <selection sqref="A1:B1"/>
    </sheetView>
  </sheetViews>
  <sheetFormatPr defaultColWidth="8.6640625" defaultRowHeight="14.25" x14ac:dyDescent="0.45"/>
  <cols>
    <col min="1" max="1" width="30" customWidth="1"/>
    <col min="2" max="2" width="10" customWidth="1"/>
  </cols>
  <sheetData>
    <row r="1" spans="1:2" ht="24" customHeight="1" x14ac:dyDescent="0.5">
      <c r="A1" s="1" t="s">
        <v>83</v>
      </c>
      <c r="B1" s="1"/>
    </row>
    <row r="3" spans="1:2" x14ac:dyDescent="0.45">
      <c r="A3" s="12" t="s">
        <v>7</v>
      </c>
      <c r="B3" s="12" t="s">
        <v>84</v>
      </c>
    </row>
    <row r="4" spans="1:2" x14ac:dyDescent="0.45">
      <c r="A4" s="13" t="s">
        <v>14</v>
      </c>
      <c r="B4" s="14">
        <f>COUNTIF('Data Quality Issues'!G3:G15,"High")</f>
        <v>8</v>
      </c>
    </row>
    <row r="5" spans="1:2" x14ac:dyDescent="0.45">
      <c r="A5" s="15" t="s">
        <v>25</v>
      </c>
      <c r="B5" s="14">
        <f>COUNTIF('Data Quality Issues'!G3:G15,"Medium")</f>
        <v>3</v>
      </c>
    </row>
    <row r="6" spans="1:2" x14ac:dyDescent="0.45">
      <c r="A6" s="16" t="s">
        <v>57</v>
      </c>
      <c r="B6" s="14">
        <f>COUNTIF('Data Quality Issues'!G3:G15,"Low")</f>
        <v>2</v>
      </c>
    </row>
    <row r="7" spans="1:2" x14ac:dyDescent="0.45">
      <c r="A7" s="17" t="s">
        <v>85</v>
      </c>
      <c r="B7" s="17">
        <f>SUM(B4:B6)</f>
        <v>13</v>
      </c>
    </row>
    <row r="9" spans="1:2" x14ac:dyDescent="0.45">
      <c r="A9" s="18" t="s">
        <v>86</v>
      </c>
    </row>
    <row r="10" spans="1:2" x14ac:dyDescent="0.45">
      <c r="A10" s="12" t="s">
        <v>2</v>
      </c>
      <c r="B10" s="12" t="s">
        <v>84</v>
      </c>
    </row>
    <row r="11" spans="1:2" x14ac:dyDescent="0.45">
      <c r="A11" s="19" t="s">
        <v>9</v>
      </c>
      <c r="B11" s="14">
        <f>COUNTIF('Data Quality Issues'!B3:B15,"*customer.csv*")</f>
        <v>3</v>
      </c>
    </row>
    <row r="12" spans="1:2" x14ac:dyDescent="0.45">
      <c r="A12" s="19" t="s">
        <v>27</v>
      </c>
      <c r="B12" s="14">
        <f>COUNTIF('Data Quality Issues'!B3:B15,"*orders.csv*")</f>
        <v>6</v>
      </c>
    </row>
    <row r="13" spans="1:2" x14ac:dyDescent="0.45">
      <c r="A13" s="19" t="s">
        <v>87</v>
      </c>
      <c r="B13" s="14">
        <f>COUNTIF('Data Quality Issues'!B3:B15,"*product.csv*")</f>
        <v>2</v>
      </c>
    </row>
    <row r="14" spans="1:2" x14ac:dyDescent="0.45">
      <c r="A14" s="19" t="s">
        <v>65</v>
      </c>
      <c r="B14" s="14">
        <f>COUNTIF('Data Quality Issues'!B3:B15,"*prod_cat_tree.csv*")</f>
        <v>1</v>
      </c>
    </row>
    <row r="15" spans="1:2" x14ac:dyDescent="0.45">
      <c r="A15" s="19" t="s">
        <v>71</v>
      </c>
      <c r="B15" s="14">
        <f>COUNTIF('Data Quality Issues'!B3:B15,"*currency_conversion.json*")</f>
        <v>3</v>
      </c>
    </row>
    <row r="17" spans="1:1" x14ac:dyDescent="0.45">
      <c r="A17" s="18" t="s">
        <v>88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Quality Issues</vt:lpstr>
      <vt:lpstr>Summary by 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 Kumar Kodati</cp:lastModifiedBy>
  <cp:revision>0</cp:revision>
  <dcterms:created xsi:type="dcterms:W3CDTF">2026-06-28T21:30:29Z</dcterms:created>
  <dcterms:modified xsi:type="dcterms:W3CDTF">2026-06-28T23:25:59Z</dcterms:modified>
  <dc:language>en-US</dc:language>
</cp:coreProperties>
</file>